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izerkarelcollege-my.sharepoint.com/personal/8432_leerling_keizerkarelcollege_nl/Documents/PWS/"/>
    </mc:Choice>
  </mc:AlternateContent>
  <xr:revisionPtr revIDLastSave="207" documentId="8_{7C3B1CC8-FA07-456C-A346-7A59DF88C8E5}" xr6:coauthVersionLast="47" xr6:coauthVersionMax="47" xr10:uidLastSave="{B3E28027-5080-4563-A04A-54CDE4982251}"/>
  <bookViews>
    <workbookView xWindow="-120" yWindow="-120" windowWidth="29040" windowHeight="15720" xr2:uid="{671093F0-31A9-42E7-AD33-BF18B71DD925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5" i="1"/>
  <c r="H4" i="1"/>
  <c r="H6" i="1" l="1"/>
</calcChain>
</file>

<file path=xl/sharedStrings.xml><?xml version="1.0" encoding="utf-8"?>
<sst xmlns="http://schemas.openxmlformats.org/spreadsheetml/2006/main" count="62" uniqueCount="38">
  <si>
    <t>Tijd(uren)</t>
  </si>
  <si>
    <t>Wie</t>
  </si>
  <si>
    <t>Datum</t>
  </si>
  <si>
    <t>Activiteit</t>
  </si>
  <si>
    <t>B,C, S</t>
  </si>
  <si>
    <t>PWS-middag</t>
  </si>
  <si>
    <t>Totaal Tijd(uren)</t>
  </si>
  <si>
    <t>B,S</t>
  </si>
  <si>
    <t>PWS Dag</t>
  </si>
  <si>
    <t>Shrey</t>
  </si>
  <si>
    <t>Benjamin</t>
  </si>
  <si>
    <t>B,S,C</t>
  </si>
  <si>
    <t>Zebra boekje hfd 1</t>
  </si>
  <si>
    <t>Charly</t>
  </si>
  <si>
    <t>Totaal</t>
  </si>
  <si>
    <t>B,C</t>
  </si>
  <si>
    <t>Onderzoek POSTNL</t>
  </si>
  <si>
    <t>B,C,S</t>
  </si>
  <si>
    <t xml:space="preserve"> Graaf maken R,E, &amp;S</t>
  </si>
  <si>
    <t>Code proberen voor excel in VBA</t>
  </si>
  <si>
    <t>Coderen in Python</t>
  </si>
  <si>
    <t>Code bugfixen en Testen</t>
  </si>
  <si>
    <t>Document en hoofd- en deelvragen gemaakt</t>
  </si>
  <si>
    <t>Zendmastengraaf coderen en theoretische achtergrond</t>
  </si>
  <si>
    <t>PWS-dag, Document bijgewerkt</t>
  </si>
  <si>
    <t>PWS Eerste versie afronden</t>
  </si>
  <si>
    <t>Titel bedenken</t>
  </si>
  <si>
    <t>Plaatjes aanpassen en mooiere maken</t>
  </si>
  <si>
    <t>S</t>
  </si>
  <si>
    <t>B</t>
  </si>
  <si>
    <t>Theorie uitbreiden / versimpelen</t>
  </si>
  <si>
    <t>C</t>
  </si>
  <si>
    <t>Veslag uitbreiden / verbeteren</t>
  </si>
  <si>
    <t>Begin inleiding + ordening / interpunctie verslag</t>
  </si>
  <si>
    <t>Code toeveoegen</t>
  </si>
  <si>
    <t>1e + 2e versie inleiding afschrijven</t>
  </si>
  <si>
    <t>Excelsheets toevoegen aan github en uitslag als bijlage</t>
  </si>
  <si>
    <t>Theorie uitbreiden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</si>
</sst>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72653-4059-469B-A8C8-ED1D09C67F10}" name="Table1" displayName="Table1" ref="A1:D796" totalsRowShown="0">
  <autoFilter ref="A1:D796" xr:uid="{E6672653-4059-469B-A8C8-ED1D09C67F10}"/>
  <tableColumns count="4">
    <tableColumn id="1" xr3:uid="{A653D119-8B2A-473D-90B7-776967CD9082}" name="Tijd(uren)"/>
    <tableColumn id="2" xr3:uid="{90D4EC8C-4D0B-40B8-94B3-FDF9F054733C}" name="Wie"/>
    <tableColumn id="3" xr3:uid="{4F10B449-86ED-4693-A221-06BFC9483277}" name="Datum"/>
    <tableColumn id="4" xr3:uid="{7E7EE192-DCD3-4C0A-AC11-E9620D94ADA3}" name="Activiteit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F99FB0-5F02-4DF0-8047-A3E4226D2842}" name="Table3" displayName="Table3" ref="G2:H7" totalsRowShown="0">
  <autoFilter ref="G2:H7" xr:uid="{50F99FB0-5F02-4DF0-8047-A3E4226D2842}"/>
  <tableColumns count="2">
    <tableColumn id="1" xr3:uid="{DBC117C3-71B2-44A3-A24E-58A9228DAAC1}" name="Wie"/>
    <tableColumn id="2" xr3:uid="{66D6439F-0A9F-4C18-90BC-5B706DCE310A}" name="Totaal Tijd(uren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150E-6C4F-4CBF-AA38-199F902731A8}">
  <dimension ref="A1:H27"/>
  <sheetViews>
    <sheetView tabSelected="1" topLeftCell="A2" zoomScale="121" workbookViewId="0">
      <selection activeCell="D28" sqref="D28"/>
    </sheetView>
  </sheetViews>
  <sheetFormatPr defaultRowHeight="15" x14ac:dyDescent="0.25"/>
  <cols>
    <col min="1" max="1" width="12.42578125" customWidth="1"/>
    <col min="3" max="3" width="12.140625" customWidth="1"/>
    <col min="4" max="4" width="45.85546875" bestFit="1" customWidth="1"/>
    <col min="6" max="6" width="6.85546875" customWidth="1"/>
    <col min="8" max="8" width="15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ht="33.6" customHeight="1" x14ac:dyDescent="0.25">
      <c r="A2">
        <v>2</v>
      </c>
      <c r="B2" t="s">
        <v>4</v>
      </c>
      <c r="C2" s="1">
        <v>45724</v>
      </c>
      <c r="D2" t="s">
        <v>5</v>
      </c>
      <c r="G2" t="s">
        <v>1</v>
      </c>
      <c r="H2" t="s">
        <v>6</v>
      </c>
    </row>
    <row r="3" spans="1:8" x14ac:dyDescent="0.25">
      <c r="A3">
        <v>3</v>
      </c>
      <c r="B3" t="s">
        <v>7</v>
      </c>
      <c r="C3" s="1">
        <v>45841</v>
      </c>
      <c r="D3" t="s">
        <v>8</v>
      </c>
      <c r="G3" t="s">
        <v>9</v>
      </c>
      <c r="H3">
        <f>SUMIF(B2:B1000,"*S*",A2:A1000)</f>
        <v>59.5</v>
      </c>
    </row>
    <row r="4" spans="1:8" x14ac:dyDescent="0.25">
      <c r="A4">
        <v>3.5</v>
      </c>
      <c r="B4" t="s">
        <v>7</v>
      </c>
      <c r="C4" s="1">
        <v>45840</v>
      </c>
      <c r="D4" t="s">
        <v>8</v>
      </c>
      <c r="G4" t="s">
        <v>10</v>
      </c>
      <c r="H4">
        <f>SUMIF(B1:B1000,"*B*",A1:A1000)</f>
        <v>60</v>
      </c>
    </row>
    <row r="5" spans="1:8" x14ac:dyDescent="0.25">
      <c r="A5">
        <v>2.5</v>
      </c>
      <c r="B5" t="s">
        <v>11</v>
      </c>
      <c r="C5" s="1">
        <v>45904</v>
      </c>
      <c r="D5" t="s">
        <v>12</v>
      </c>
      <c r="G5" t="s">
        <v>13</v>
      </c>
      <c r="H5">
        <f>SUMIF(B1:B1000,"*C*",A1:A1000)</f>
        <v>61</v>
      </c>
    </row>
    <row r="6" spans="1:8" x14ac:dyDescent="0.25">
      <c r="A6">
        <v>2.5</v>
      </c>
      <c r="B6" t="s">
        <v>11</v>
      </c>
      <c r="C6" s="1">
        <v>45915</v>
      </c>
      <c r="D6" t="s">
        <v>5</v>
      </c>
      <c r="G6" t="s">
        <v>14</v>
      </c>
      <c r="H6">
        <f>SUM(H3:H5)</f>
        <v>180.5</v>
      </c>
    </row>
    <row r="7" spans="1:8" x14ac:dyDescent="0.25">
      <c r="A7">
        <v>1.5</v>
      </c>
      <c r="B7" t="s">
        <v>15</v>
      </c>
      <c r="C7" s="1">
        <v>45969</v>
      </c>
      <c r="D7" t="s">
        <v>16</v>
      </c>
    </row>
    <row r="8" spans="1:8" x14ac:dyDescent="0.25">
      <c r="A8">
        <v>1.5</v>
      </c>
      <c r="B8" t="s">
        <v>4</v>
      </c>
      <c r="C8" s="1">
        <v>45972</v>
      </c>
      <c r="D8" t="s">
        <v>5</v>
      </c>
    </row>
    <row r="9" spans="1:8" x14ac:dyDescent="0.25">
      <c r="A9">
        <v>4</v>
      </c>
      <c r="B9" t="s">
        <v>17</v>
      </c>
      <c r="C9" s="1">
        <v>45973</v>
      </c>
      <c r="D9" t="s">
        <v>18</v>
      </c>
    </row>
    <row r="10" spans="1:8" x14ac:dyDescent="0.25">
      <c r="A10">
        <v>3</v>
      </c>
      <c r="B10" t="s">
        <v>17</v>
      </c>
      <c r="C10" s="1">
        <v>45975</v>
      </c>
      <c r="D10" t="s">
        <v>18</v>
      </c>
    </row>
    <row r="11" spans="1:8" x14ac:dyDescent="0.25">
      <c r="A11">
        <v>4</v>
      </c>
      <c r="B11" t="s">
        <v>17</v>
      </c>
      <c r="C11" s="1">
        <v>45981</v>
      </c>
      <c r="D11" t="s">
        <v>19</v>
      </c>
    </row>
    <row r="12" spans="1:8" x14ac:dyDescent="0.25">
      <c r="A12">
        <v>3</v>
      </c>
      <c r="B12" t="s">
        <v>17</v>
      </c>
      <c r="C12" s="1">
        <v>45988</v>
      </c>
      <c r="D12" t="s">
        <v>20</v>
      </c>
    </row>
    <row r="13" spans="1:8" x14ac:dyDescent="0.25">
      <c r="A13">
        <v>3</v>
      </c>
      <c r="B13" t="s">
        <v>17</v>
      </c>
      <c r="C13" s="1">
        <v>45989</v>
      </c>
      <c r="D13" t="s">
        <v>21</v>
      </c>
    </row>
    <row r="14" spans="1:8" x14ac:dyDescent="0.25">
      <c r="A14">
        <v>1</v>
      </c>
      <c r="B14" t="s">
        <v>17</v>
      </c>
      <c r="C14" s="1">
        <v>45996</v>
      </c>
      <c r="D14" t="s">
        <v>22</v>
      </c>
    </row>
    <row r="15" spans="1:8" x14ac:dyDescent="0.25">
      <c r="A15">
        <v>6</v>
      </c>
      <c r="B15" t="s">
        <v>17</v>
      </c>
      <c r="C15" s="1">
        <v>46008</v>
      </c>
      <c r="D15" t="s">
        <v>23</v>
      </c>
    </row>
    <row r="16" spans="1:8" x14ac:dyDescent="0.25">
      <c r="A16">
        <v>6</v>
      </c>
      <c r="B16" t="s">
        <v>17</v>
      </c>
      <c r="C16" s="1">
        <v>46009</v>
      </c>
      <c r="D16" t="s">
        <v>24</v>
      </c>
    </row>
    <row r="17" spans="1:4" x14ac:dyDescent="0.25">
      <c r="A17">
        <v>5</v>
      </c>
      <c r="B17" t="s">
        <v>17</v>
      </c>
      <c r="C17" s="1">
        <v>46010</v>
      </c>
      <c r="D17" t="s">
        <v>25</v>
      </c>
    </row>
    <row r="18" spans="1:4" x14ac:dyDescent="0.25">
      <c r="A18">
        <v>1</v>
      </c>
      <c r="B18" t="s">
        <v>17</v>
      </c>
      <c r="C18" s="1">
        <v>46031</v>
      </c>
      <c r="D18" t="s">
        <v>26</v>
      </c>
    </row>
    <row r="19" spans="1:4" x14ac:dyDescent="0.25">
      <c r="A19">
        <v>1.5</v>
      </c>
      <c r="B19" t="s">
        <v>17</v>
      </c>
      <c r="C19" s="1">
        <v>46034</v>
      </c>
      <c r="D19" t="s">
        <v>27</v>
      </c>
    </row>
    <row r="20" spans="1:4" x14ac:dyDescent="0.25">
      <c r="A20">
        <v>1</v>
      </c>
      <c r="B20" t="s">
        <v>28</v>
      </c>
      <c r="C20" s="1">
        <v>46038</v>
      </c>
      <c r="D20" t="s">
        <v>27</v>
      </c>
    </row>
    <row r="21" spans="1:4" x14ac:dyDescent="0.25">
      <c r="A21">
        <v>1.5</v>
      </c>
      <c r="B21" t="s">
        <v>29</v>
      </c>
      <c r="C21" s="1">
        <v>46039</v>
      </c>
      <c r="D21" t="s">
        <v>30</v>
      </c>
    </row>
    <row r="22" spans="1:4" x14ac:dyDescent="0.25">
      <c r="A22">
        <v>4</v>
      </c>
      <c r="B22" t="s">
        <v>31</v>
      </c>
      <c r="C22" s="1">
        <v>46039</v>
      </c>
      <c r="D22" t="s">
        <v>32</v>
      </c>
    </row>
    <row r="23" spans="1:4" x14ac:dyDescent="0.25">
      <c r="A23">
        <v>2</v>
      </c>
      <c r="B23" t="s">
        <v>31</v>
      </c>
      <c r="C23" s="1">
        <v>46040</v>
      </c>
      <c r="D23" t="s">
        <v>33</v>
      </c>
    </row>
    <row r="24" spans="1:4" x14ac:dyDescent="0.25">
      <c r="A24">
        <v>1</v>
      </c>
      <c r="B24" t="s">
        <v>28</v>
      </c>
      <c r="C24" s="1">
        <v>46041</v>
      </c>
      <c r="D24" t="s">
        <v>34</v>
      </c>
    </row>
    <row r="25" spans="1:4" x14ac:dyDescent="0.25">
      <c r="A25">
        <v>3</v>
      </c>
      <c r="B25" t="s">
        <v>31</v>
      </c>
      <c r="C25" s="1">
        <v>46042</v>
      </c>
      <c r="D25" t="s">
        <v>35</v>
      </c>
    </row>
    <row r="26" spans="1:4" x14ac:dyDescent="0.25">
      <c r="A26">
        <v>0.5</v>
      </c>
      <c r="B26" t="s">
        <v>28</v>
      </c>
      <c r="C26" s="1">
        <v>46042</v>
      </c>
      <c r="D26" t="s">
        <v>36</v>
      </c>
    </row>
    <row r="27" spans="1:4" x14ac:dyDescent="0.25">
      <c r="A27">
        <v>4.5</v>
      </c>
      <c r="B27" t="s">
        <v>11</v>
      </c>
      <c r="C27" s="1">
        <v>46042</v>
      </c>
      <c r="D27" t="s">
        <v>37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 Shah</dc:creator>
  <cp:keywords/>
  <dc:description/>
  <cp:lastModifiedBy>Benjamin Moss</cp:lastModifiedBy>
  <cp:revision/>
  <dcterms:created xsi:type="dcterms:W3CDTF">2025-07-02T09:18:30Z</dcterms:created>
  <dcterms:modified xsi:type="dcterms:W3CDTF">2026-01-21T09:29:55Z</dcterms:modified>
  <cp:category/>
  <cp:contentStatus/>
</cp:coreProperties>
</file>